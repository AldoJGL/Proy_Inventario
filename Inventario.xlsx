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do-\OneDrive\Desktop\"/>
    </mc:Choice>
  </mc:AlternateContent>
  <xr:revisionPtr revIDLastSave="0" documentId="13_ncr:1_{F1A60B80-8909-411F-A20B-D480499FE861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roductos" sheetId="1" r:id="rId1"/>
    <sheet name="Entradas" sheetId="2" r:id="rId2"/>
    <sheet name="Salidas" sheetId="3" r:id="rId3"/>
    <sheet name="Inventari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" i="4"/>
  <c r="D3" i="4"/>
  <c r="F3" i="4" s="1"/>
  <c r="G3" i="4" s="1"/>
  <c r="D4" i="4"/>
  <c r="F4" i="4" s="1"/>
  <c r="G4" i="4" s="1"/>
  <c r="D5" i="4"/>
  <c r="F5" i="4" s="1"/>
  <c r="G5" i="4" s="1"/>
  <c r="D6" i="4"/>
  <c r="F6" i="4" s="1"/>
  <c r="G6" i="4" s="1"/>
  <c r="D7" i="4"/>
  <c r="F7" i="4" s="1"/>
  <c r="G7" i="4" s="1"/>
  <c r="D8" i="4"/>
  <c r="F8" i="4" s="1"/>
  <c r="G8" i="4" s="1"/>
  <c r="D9" i="4"/>
  <c r="F9" i="4" s="1"/>
  <c r="G9" i="4" s="1"/>
  <c r="D10" i="4"/>
  <c r="F10" i="4" s="1"/>
  <c r="G10" i="4" s="1"/>
  <c r="D11" i="4"/>
  <c r="F11" i="4" s="1"/>
  <c r="G11" i="4" s="1"/>
  <c r="D12" i="4"/>
  <c r="F12" i="4" s="1"/>
  <c r="G12" i="4" s="1"/>
  <c r="D13" i="4"/>
  <c r="F13" i="4" s="1"/>
  <c r="G13" i="4" s="1"/>
  <c r="D14" i="4"/>
  <c r="F14" i="4" s="1"/>
  <c r="G14" i="4" s="1"/>
  <c r="D15" i="4"/>
  <c r="F15" i="4" s="1"/>
  <c r="G15" i="4" s="1"/>
  <c r="D16" i="4"/>
  <c r="F16" i="4" s="1"/>
  <c r="G16" i="4" s="1"/>
  <c r="D17" i="4"/>
  <c r="F17" i="4" s="1"/>
  <c r="G17" i="4" s="1"/>
  <c r="D18" i="4"/>
  <c r="F18" i="4" s="1"/>
  <c r="G18" i="4" s="1"/>
  <c r="D19" i="4"/>
  <c r="F19" i="4" s="1"/>
  <c r="G19" i="4" s="1"/>
  <c r="D20" i="4"/>
  <c r="F20" i="4" s="1"/>
  <c r="G20" i="4" s="1"/>
  <c r="D21" i="4"/>
  <c r="F21" i="4" s="1"/>
  <c r="G21" i="4" s="1"/>
  <c r="D2" i="4"/>
  <c r="F2" i="4" s="1"/>
  <c r="G2" i="4" s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</calcChain>
</file>

<file path=xl/sharedStrings.xml><?xml version="1.0" encoding="utf-8"?>
<sst xmlns="http://schemas.openxmlformats.org/spreadsheetml/2006/main" count="207" uniqueCount="52">
  <si>
    <t>Código</t>
  </si>
  <si>
    <t>Descripción</t>
  </si>
  <si>
    <t>Precio Unitario</t>
  </si>
  <si>
    <t>Stock Inicial</t>
  </si>
  <si>
    <t>A001</t>
  </si>
  <si>
    <t>Laptop Lenovo ThinkPad</t>
  </si>
  <si>
    <t>A002</t>
  </si>
  <si>
    <t>Laptop HP Pavilion</t>
  </si>
  <si>
    <t>A003</t>
  </si>
  <si>
    <t>Laptop Dell Inspiron</t>
  </si>
  <si>
    <t>A004</t>
  </si>
  <si>
    <t>Monitor Samsung 24"</t>
  </si>
  <si>
    <t>A005</t>
  </si>
  <si>
    <t>Monitor LG 27"</t>
  </si>
  <si>
    <t>A006</t>
  </si>
  <si>
    <t>Teclado Mecánico</t>
  </si>
  <si>
    <t>A007</t>
  </si>
  <si>
    <t>Mouse Inalámbrico</t>
  </si>
  <si>
    <t>A008</t>
  </si>
  <si>
    <t>Audífonos Bluetooth</t>
  </si>
  <si>
    <t>A009</t>
  </si>
  <si>
    <t>Webcam HD</t>
  </si>
  <si>
    <t>A010</t>
  </si>
  <si>
    <t>Cable HDMI</t>
  </si>
  <si>
    <t>A011</t>
  </si>
  <si>
    <t>Cable USB-C</t>
  </si>
  <si>
    <t>A012</t>
  </si>
  <si>
    <t>Disco Duro Externo</t>
  </si>
  <si>
    <t>A013</t>
  </si>
  <si>
    <t>SSD 1TB</t>
  </si>
  <si>
    <t>A014</t>
  </si>
  <si>
    <t>Memoria USB 64GB</t>
  </si>
  <si>
    <t>A015</t>
  </si>
  <si>
    <t>Router WiFi</t>
  </si>
  <si>
    <t>A016</t>
  </si>
  <si>
    <t>Impresora Multifuncional</t>
  </si>
  <si>
    <t>A017</t>
  </si>
  <si>
    <t>Base Enfriadora Laptop</t>
  </si>
  <si>
    <t>A018</t>
  </si>
  <si>
    <t>Adaptador USB Ethernet</t>
  </si>
  <si>
    <t>A019</t>
  </si>
  <si>
    <t>Monitor ASUS 22"</t>
  </si>
  <si>
    <t>A020</t>
  </si>
  <si>
    <t>Mouse Gamer</t>
  </si>
  <si>
    <t>Fecha</t>
  </si>
  <si>
    <t>Código Producto</t>
  </si>
  <si>
    <t>Cantidad</t>
  </si>
  <si>
    <t>Descripcion</t>
  </si>
  <si>
    <t>Total Entradas</t>
  </si>
  <si>
    <t>Total Salidas</t>
  </si>
  <si>
    <t>Stock Actual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</si>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</sst>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yyyy\-mm\-dd"/>
    <numFmt numFmtId="165" formatCode="_-[$$-80A]* #,##0.00_-;\-[$$-80A]* #,##0.00_-;_-[$$-80A]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2" fillId="2" borderId="1" xfId="0" applyFont="1" applyFill="1" applyBorder="1"/>
    <xf numFmtId="0" fontId="0" fillId="3" borderId="2" xfId="0" applyFont="1" applyFill="1" applyBorder="1"/>
    <xf numFmtId="0" fontId="0" fillId="4" borderId="2" xfId="0" applyFont="1" applyFill="1" applyBorder="1"/>
    <xf numFmtId="0" fontId="0" fillId="4" borderId="3" xfId="0" applyFont="1" applyFill="1" applyBorder="1"/>
    <xf numFmtId="44" fontId="0" fillId="0" borderId="0" xfId="1" applyFont="1"/>
    <xf numFmtId="165" fontId="0" fillId="0" borderId="0" xfId="0" applyNumberFormat="1"/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5" formatCode="_-[$$-80A]* #,##0.00_-;\-[$$-80A]* #,##0.00_-;_-[$$-80A]* &quot;-&quot;??_-;_-@_-"/>
    </dxf>
    <dxf>
      <font>
        <color rgb="FF9C0006"/>
      </font>
      <fill>
        <patternFill>
          <bgColor rgb="FFFFC7CE"/>
        </patternFill>
      </fill>
    </dxf>
    <dxf>
      <numFmt numFmtId="164" formatCode="yyyy\-mm\-dd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B4FBB2-FC22-4F44-8695-FA7A707D5545}" name="TablaProductos" displayName="TablaProductos" ref="A1:D21" totalsRowShown="0">
  <autoFilter ref="A1:D21" xr:uid="{20B4FBB2-FC22-4F44-8695-FA7A707D5545}"/>
  <tableColumns count="4">
    <tableColumn id="1" xr3:uid="{7CA5B8FD-CE09-4C5D-BAE3-43E4ACBD88FD}" name="Código"/>
    <tableColumn id="2" xr3:uid="{A24A41BE-0E43-4F5C-823D-EFF7DD52E15F}" name="Descripción"/>
    <tableColumn id="3" xr3:uid="{7B48AB2B-CE18-4AE5-8117-5F4CD2B3892F}" name="Precio Unitario" dataDxfId="15"/>
    <tableColumn id="4" xr3:uid="{4EBD8709-16C5-43AC-A670-D66C65593B0C}" name="Stock Inicia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2CCB99-F852-41DA-9898-EF9FE5C31A83}" name="TablaEntradas" displayName="TablaEntradas" ref="A1:C51" totalsRowShown="0">
  <autoFilter ref="A1:C51" xr:uid="{D82CCB99-F852-41DA-9898-EF9FE5C31A83}"/>
  <tableColumns count="3">
    <tableColumn id="1" xr3:uid="{6B6706C6-83DC-4E2E-94E4-160DF3C9E217}" name="Fecha" dataDxfId="18"/>
    <tableColumn id="2" xr3:uid="{98337D66-B6EC-4079-8E9D-5034816418B2}" name="Código Producto"/>
    <tableColumn id="3" xr3:uid="{C269D2AE-A907-4BD3-81AD-616C5DFC89A7}" name="Cantida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502A35-9771-4543-91E3-55B564011E3F}" name="TablaSalidas" displayName="TablaSalidas" ref="A1:C81" totalsRowShown="0">
  <autoFilter ref="A1:C81" xr:uid="{2E502A35-9771-4543-91E3-55B564011E3F}"/>
  <tableColumns count="3">
    <tableColumn id="1" xr3:uid="{55BF65B8-FE60-4DB5-98F3-A73B4DDCF3FA}" name="Fecha" dataDxfId="17"/>
    <tableColumn id="2" xr3:uid="{C926F2C2-2652-4F48-B97F-852757B57469}" name="Código Producto"/>
    <tableColumn id="3" xr3:uid="{BAF65706-FBCE-4A0C-9E89-4B7D3C792489}" name="Cantida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B2407D-8508-4C2E-9F38-3E855A0C48F7}" name="Tabla5" displayName="Tabla5" ref="A1:G21" totalsRowShown="0">
  <autoFilter ref="A1:G21" xr:uid="{3CB2407D-8508-4C2E-9F38-3E855A0C48F7}"/>
  <tableColumns count="7">
    <tableColumn id="1" xr3:uid="{CB669155-DA5D-42F7-8205-557A87F8039F}" name="Código" dataDxfId="14"/>
    <tableColumn id="2" xr3:uid="{B228CFC7-D44F-43A4-A154-1600E8CB6AD1}" name="Descripcion">
      <calculatedColumnFormula>VLOOKUP(A2, TablaProductos[], 2, 0)</calculatedColumnFormula>
    </tableColumn>
    <tableColumn id="3" xr3:uid="{7E74A668-1DD1-4377-BD38-57CAFBD840C2}" name="Stock Inicial" dataDxfId="13">
      <calculatedColumnFormula>VLOOKUP(A2, TablaProductos[], 4, 0)</calculatedColumnFormula>
    </tableColumn>
    <tableColumn id="4" xr3:uid="{70BE597E-66DB-483C-B06B-619D3C0BAF7D}" name="Total Entradas" dataDxfId="12">
      <calculatedColumnFormula>SUMIFS(TablaEntradas[Cantidad], TablaEntradas[Código Producto], A2)</calculatedColumnFormula>
    </tableColumn>
    <tableColumn id="5" xr3:uid="{0AC23AAB-50E4-417B-A149-E7B8C9B79E51}" name="Total Salidas" dataDxfId="11">
      <calculatedColumnFormula>SUMIFS(TablaSalidas[Cantidad],TablaSalidas[Código Producto], A2)</calculatedColumnFormula>
    </tableColumn>
    <tableColumn id="6" xr3:uid="{328A0A1B-731C-4885-88DE-0E2A6393D824}" name="Stock Actual" dataDxfId="10">
      <calculatedColumnFormula>C2 + D2 - E2</calculatedColumnFormula>
    </tableColumn>
    <tableColumn id="7" xr3:uid="{3BF31B8F-6A1E-4B84-86A9-644897B6E30A}" name="Estado" dataDxfId="9">
      <calculatedColumnFormula>IF(F2&lt;=10, "Pedir Stock", "En Stock")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workbookViewId="0">
      <selection activeCell="D2" sqref="D2"/>
    </sheetView>
  </sheetViews>
  <sheetFormatPr baseColWidth="10" defaultColWidth="9.140625" defaultRowHeight="15" x14ac:dyDescent="0.25"/>
  <cols>
    <col min="1" max="1" width="9.28515625" customWidth="1"/>
    <col min="2" max="2" width="22.85546875" customWidth="1"/>
    <col min="3" max="3" width="16.42578125" customWidth="1"/>
    <col min="4" max="4" width="13.5703125" customWidth="1"/>
  </cols>
  <sheetData>
    <row r="1" spans="1:4" x14ac:dyDescent="0.25">
      <c r="A1" t="s">
        <v>0</v>
      </c>
      <c r="B1" t="s">
        <v>1</v>
      </c>
      <c r="C1" s="6" t="s">
        <v>2</v>
      </c>
      <c r="D1" t="s">
        <v>3</v>
      </c>
    </row>
    <row r="2" spans="1:4" x14ac:dyDescent="0.25">
      <c r="A2" t="s">
        <v>4</v>
      </c>
      <c r="B2" t="s">
        <v>5</v>
      </c>
      <c r="C2" s="7">
        <v>1533.9</v>
      </c>
      <c r="D2">
        <v>30</v>
      </c>
    </row>
    <row r="3" spans="1:4" x14ac:dyDescent="0.25">
      <c r="A3" t="s">
        <v>6</v>
      </c>
      <c r="B3" t="s">
        <v>7</v>
      </c>
      <c r="C3" s="7">
        <v>2065.8000000000002</v>
      </c>
      <c r="D3">
        <v>17</v>
      </c>
    </row>
    <row r="4" spans="1:4" x14ac:dyDescent="0.25">
      <c r="A4" t="s">
        <v>8</v>
      </c>
      <c r="B4" t="s">
        <v>9</v>
      </c>
      <c r="C4" s="7">
        <v>1497.7</v>
      </c>
      <c r="D4">
        <v>35</v>
      </c>
    </row>
    <row r="5" spans="1:4" x14ac:dyDescent="0.25">
      <c r="A5" t="s">
        <v>10</v>
      </c>
      <c r="B5" t="s">
        <v>11</v>
      </c>
      <c r="C5" s="7">
        <v>545.6</v>
      </c>
      <c r="D5">
        <v>13</v>
      </c>
    </row>
    <row r="6" spans="1:4" x14ac:dyDescent="0.25">
      <c r="A6" t="s">
        <v>12</v>
      </c>
      <c r="B6" t="s">
        <v>13</v>
      </c>
      <c r="C6" s="7">
        <v>609.4</v>
      </c>
      <c r="D6">
        <v>49</v>
      </c>
    </row>
    <row r="7" spans="1:4" x14ac:dyDescent="0.25">
      <c r="A7" t="s">
        <v>14</v>
      </c>
      <c r="B7" t="s">
        <v>15</v>
      </c>
      <c r="C7" s="7">
        <v>1454.6</v>
      </c>
      <c r="D7">
        <v>35</v>
      </c>
    </row>
    <row r="8" spans="1:4" x14ac:dyDescent="0.25">
      <c r="A8" t="s">
        <v>16</v>
      </c>
      <c r="B8" t="s">
        <v>17</v>
      </c>
      <c r="C8" s="7">
        <v>1005.7</v>
      </c>
      <c r="D8">
        <v>16</v>
      </c>
    </row>
    <row r="9" spans="1:4" x14ac:dyDescent="0.25">
      <c r="A9" t="s">
        <v>18</v>
      </c>
      <c r="B9" t="s">
        <v>19</v>
      </c>
      <c r="C9" s="7">
        <v>2044.5</v>
      </c>
      <c r="D9">
        <v>29</v>
      </c>
    </row>
    <row r="10" spans="1:4" x14ac:dyDescent="0.25">
      <c r="A10" t="s">
        <v>20</v>
      </c>
      <c r="B10" t="s">
        <v>21</v>
      </c>
      <c r="C10" s="7">
        <v>858.7</v>
      </c>
      <c r="D10">
        <v>35</v>
      </c>
    </row>
    <row r="11" spans="1:4" x14ac:dyDescent="0.25">
      <c r="A11" t="s">
        <v>22</v>
      </c>
      <c r="B11" t="s">
        <v>23</v>
      </c>
      <c r="C11" s="7">
        <v>1431.5</v>
      </c>
      <c r="D11">
        <v>21</v>
      </c>
    </row>
    <row r="12" spans="1:4" x14ac:dyDescent="0.25">
      <c r="A12" t="s">
        <v>24</v>
      </c>
      <c r="B12" t="s">
        <v>25</v>
      </c>
      <c r="C12" s="7">
        <v>312.3</v>
      </c>
      <c r="D12">
        <v>32</v>
      </c>
    </row>
    <row r="13" spans="1:4" x14ac:dyDescent="0.25">
      <c r="A13" t="s">
        <v>26</v>
      </c>
      <c r="B13" t="s">
        <v>27</v>
      </c>
      <c r="C13" s="7">
        <v>1471.1</v>
      </c>
      <c r="D13">
        <v>46</v>
      </c>
    </row>
    <row r="14" spans="1:4" x14ac:dyDescent="0.25">
      <c r="A14" t="s">
        <v>28</v>
      </c>
      <c r="B14" t="s">
        <v>29</v>
      </c>
      <c r="C14" s="7">
        <v>1043.5</v>
      </c>
      <c r="D14">
        <v>34</v>
      </c>
    </row>
    <row r="15" spans="1:4" x14ac:dyDescent="0.25">
      <c r="A15" t="s">
        <v>30</v>
      </c>
      <c r="B15" t="s">
        <v>31</v>
      </c>
      <c r="C15" s="7">
        <v>987.3</v>
      </c>
      <c r="D15">
        <v>19</v>
      </c>
    </row>
    <row r="16" spans="1:4" x14ac:dyDescent="0.25">
      <c r="A16" t="s">
        <v>32</v>
      </c>
      <c r="B16" t="s">
        <v>33</v>
      </c>
      <c r="C16" s="7">
        <v>1217.8</v>
      </c>
      <c r="D16">
        <v>36</v>
      </c>
    </row>
    <row r="17" spans="1:4" x14ac:dyDescent="0.25">
      <c r="A17" t="s">
        <v>34</v>
      </c>
      <c r="B17" t="s">
        <v>35</v>
      </c>
      <c r="C17" s="7">
        <v>2086</v>
      </c>
      <c r="D17">
        <v>19</v>
      </c>
    </row>
    <row r="18" spans="1:4" x14ac:dyDescent="0.25">
      <c r="A18" t="s">
        <v>36</v>
      </c>
      <c r="B18" t="s">
        <v>37</v>
      </c>
      <c r="C18" s="7">
        <v>467.8</v>
      </c>
      <c r="D18">
        <v>48</v>
      </c>
    </row>
    <row r="19" spans="1:4" x14ac:dyDescent="0.25">
      <c r="A19" t="s">
        <v>38</v>
      </c>
      <c r="B19" t="s">
        <v>39</v>
      </c>
      <c r="C19" s="7">
        <v>182.2</v>
      </c>
      <c r="D19">
        <v>42</v>
      </c>
    </row>
    <row r="20" spans="1:4" x14ac:dyDescent="0.25">
      <c r="A20" t="s">
        <v>40</v>
      </c>
      <c r="B20" t="s">
        <v>41</v>
      </c>
      <c r="C20" s="7">
        <v>515.70000000000005</v>
      </c>
      <c r="D20">
        <v>22</v>
      </c>
    </row>
    <row r="21" spans="1:4" x14ac:dyDescent="0.25">
      <c r="A21" t="s">
        <v>42</v>
      </c>
      <c r="B21" t="s">
        <v>43</v>
      </c>
      <c r="C21" s="7">
        <v>2304.5</v>
      </c>
      <c r="D21">
        <v>25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12.140625" customWidth="1"/>
    <col min="2" max="2" width="17.7109375" customWidth="1"/>
    <col min="3" max="3" width="11" customWidth="1"/>
  </cols>
  <sheetData>
    <row r="1" spans="1:3" x14ac:dyDescent="0.25">
      <c r="A1" t="s">
        <v>44</v>
      </c>
      <c r="B1" t="s">
        <v>45</v>
      </c>
      <c r="C1" t="s">
        <v>46</v>
      </c>
    </row>
    <row r="2" spans="1:3" x14ac:dyDescent="0.25">
      <c r="A2" s="1">
        <v>45361</v>
      </c>
      <c r="B2" t="s">
        <v>26</v>
      </c>
      <c r="C2">
        <v>23</v>
      </c>
    </row>
    <row r="3" spans="1:3" x14ac:dyDescent="0.25">
      <c r="A3" s="1">
        <v>45376</v>
      </c>
      <c r="B3" t="s">
        <v>42</v>
      </c>
      <c r="C3">
        <v>5</v>
      </c>
    </row>
    <row r="4" spans="1:3" x14ac:dyDescent="0.25">
      <c r="A4" s="1">
        <v>45350</v>
      </c>
      <c r="B4" t="s">
        <v>22</v>
      </c>
      <c r="C4">
        <v>8</v>
      </c>
    </row>
    <row r="5" spans="1:3" x14ac:dyDescent="0.25">
      <c r="A5" s="1">
        <v>45379</v>
      </c>
      <c r="B5" t="s">
        <v>26</v>
      </c>
      <c r="C5">
        <v>26</v>
      </c>
    </row>
    <row r="6" spans="1:3" x14ac:dyDescent="0.25">
      <c r="A6" s="1">
        <v>45353</v>
      </c>
      <c r="B6" t="s">
        <v>40</v>
      </c>
      <c r="C6">
        <v>19</v>
      </c>
    </row>
    <row r="7" spans="1:3" x14ac:dyDescent="0.25">
      <c r="A7" s="1">
        <v>45341</v>
      </c>
      <c r="B7" t="s">
        <v>38</v>
      </c>
      <c r="C7">
        <v>24</v>
      </c>
    </row>
    <row r="8" spans="1:3" x14ac:dyDescent="0.25">
      <c r="A8" s="1">
        <v>45370</v>
      </c>
      <c r="B8" t="s">
        <v>6</v>
      </c>
      <c r="C8">
        <v>23</v>
      </c>
    </row>
    <row r="9" spans="1:3" x14ac:dyDescent="0.25">
      <c r="A9" s="1">
        <v>45317</v>
      </c>
      <c r="B9" t="s">
        <v>10</v>
      </c>
      <c r="C9">
        <v>23</v>
      </c>
    </row>
    <row r="10" spans="1:3" x14ac:dyDescent="0.25">
      <c r="A10" s="1">
        <v>45349</v>
      </c>
      <c r="B10" t="s">
        <v>30</v>
      </c>
      <c r="C10">
        <v>15</v>
      </c>
    </row>
    <row r="11" spans="1:3" x14ac:dyDescent="0.25">
      <c r="A11" s="1">
        <v>45364</v>
      </c>
      <c r="B11" t="s">
        <v>20</v>
      </c>
      <c r="C11">
        <v>27</v>
      </c>
    </row>
    <row r="12" spans="1:3" x14ac:dyDescent="0.25">
      <c r="A12" s="1">
        <v>45334</v>
      </c>
      <c r="B12" t="s">
        <v>42</v>
      </c>
      <c r="C12">
        <v>17</v>
      </c>
    </row>
    <row r="13" spans="1:3" x14ac:dyDescent="0.25">
      <c r="A13" s="1">
        <v>45368</v>
      </c>
      <c r="B13" t="s">
        <v>4</v>
      </c>
      <c r="C13">
        <v>15</v>
      </c>
    </row>
    <row r="14" spans="1:3" x14ac:dyDescent="0.25">
      <c r="A14" s="1">
        <v>45361</v>
      </c>
      <c r="B14" t="s">
        <v>8</v>
      </c>
      <c r="C14">
        <v>13</v>
      </c>
    </row>
    <row r="15" spans="1:3" x14ac:dyDescent="0.25">
      <c r="A15" s="1">
        <v>45349</v>
      </c>
      <c r="B15" t="s">
        <v>28</v>
      </c>
      <c r="C15">
        <v>27</v>
      </c>
    </row>
    <row r="16" spans="1:3" x14ac:dyDescent="0.25">
      <c r="A16" s="1">
        <v>45301</v>
      </c>
      <c r="B16" t="s">
        <v>12</v>
      </c>
      <c r="C16">
        <v>9</v>
      </c>
    </row>
    <row r="17" spans="1:3" x14ac:dyDescent="0.25">
      <c r="A17" s="1">
        <v>45325</v>
      </c>
      <c r="B17" t="s">
        <v>20</v>
      </c>
      <c r="C17">
        <v>30</v>
      </c>
    </row>
    <row r="18" spans="1:3" x14ac:dyDescent="0.25">
      <c r="A18" s="1">
        <v>45320</v>
      </c>
      <c r="B18" t="s">
        <v>38</v>
      </c>
      <c r="C18">
        <v>6</v>
      </c>
    </row>
    <row r="19" spans="1:3" x14ac:dyDescent="0.25">
      <c r="A19" s="1">
        <v>45361</v>
      </c>
      <c r="B19" t="s">
        <v>36</v>
      </c>
      <c r="C19">
        <v>14</v>
      </c>
    </row>
    <row r="20" spans="1:3" x14ac:dyDescent="0.25">
      <c r="A20" s="1">
        <v>45382</v>
      </c>
      <c r="B20" t="s">
        <v>24</v>
      </c>
      <c r="C20">
        <v>11</v>
      </c>
    </row>
    <row r="21" spans="1:3" x14ac:dyDescent="0.25">
      <c r="A21" s="1">
        <v>45367</v>
      </c>
      <c r="B21" t="s">
        <v>20</v>
      </c>
      <c r="C21">
        <v>15</v>
      </c>
    </row>
    <row r="22" spans="1:3" x14ac:dyDescent="0.25">
      <c r="A22" s="1">
        <v>45303</v>
      </c>
      <c r="B22" t="s">
        <v>28</v>
      </c>
      <c r="C22">
        <v>21</v>
      </c>
    </row>
    <row r="23" spans="1:3" x14ac:dyDescent="0.25">
      <c r="A23" s="1">
        <v>45324</v>
      </c>
      <c r="B23" t="s">
        <v>20</v>
      </c>
      <c r="C23">
        <v>5</v>
      </c>
    </row>
    <row r="24" spans="1:3" x14ac:dyDescent="0.25">
      <c r="A24" s="1">
        <v>45305</v>
      </c>
      <c r="B24" t="s">
        <v>34</v>
      </c>
      <c r="C24">
        <v>20</v>
      </c>
    </row>
    <row r="25" spans="1:3" x14ac:dyDescent="0.25">
      <c r="A25" s="1">
        <v>45381</v>
      </c>
      <c r="B25" t="s">
        <v>6</v>
      </c>
      <c r="C25">
        <v>18</v>
      </c>
    </row>
    <row r="26" spans="1:3" x14ac:dyDescent="0.25">
      <c r="A26" s="1">
        <v>45345</v>
      </c>
      <c r="B26" t="s">
        <v>38</v>
      </c>
      <c r="C26">
        <v>28</v>
      </c>
    </row>
    <row r="27" spans="1:3" x14ac:dyDescent="0.25">
      <c r="A27" s="1">
        <v>45307</v>
      </c>
      <c r="B27" t="s">
        <v>6</v>
      </c>
      <c r="C27">
        <v>10</v>
      </c>
    </row>
    <row r="28" spans="1:3" x14ac:dyDescent="0.25">
      <c r="A28" s="1">
        <v>45307</v>
      </c>
      <c r="B28" t="s">
        <v>42</v>
      </c>
      <c r="C28">
        <v>5</v>
      </c>
    </row>
    <row r="29" spans="1:3" x14ac:dyDescent="0.25">
      <c r="A29" s="1">
        <v>45351</v>
      </c>
      <c r="B29" t="s">
        <v>4</v>
      </c>
      <c r="C29">
        <v>8</v>
      </c>
    </row>
    <row r="30" spans="1:3" x14ac:dyDescent="0.25">
      <c r="A30" s="1">
        <v>45299</v>
      </c>
      <c r="B30" t="s">
        <v>4</v>
      </c>
      <c r="C30">
        <v>28</v>
      </c>
    </row>
    <row r="31" spans="1:3" x14ac:dyDescent="0.25">
      <c r="A31" s="1">
        <v>45329</v>
      </c>
      <c r="B31" t="s">
        <v>38</v>
      </c>
      <c r="C31">
        <v>17</v>
      </c>
    </row>
    <row r="32" spans="1:3" x14ac:dyDescent="0.25">
      <c r="A32" s="1">
        <v>45341</v>
      </c>
      <c r="B32" t="s">
        <v>30</v>
      </c>
      <c r="C32">
        <v>6</v>
      </c>
    </row>
    <row r="33" spans="1:3" x14ac:dyDescent="0.25">
      <c r="A33" s="1">
        <v>45361</v>
      </c>
      <c r="B33" t="s">
        <v>34</v>
      </c>
      <c r="C33">
        <v>7</v>
      </c>
    </row>
    <row r="34" spans="1:3" x14ac:dyDescent="0.25">
      <c r="A34" s="1">
        <v>45303</v>
      </c>
      <c r="B34" t="s">
        <v>30</v>
      </c>
      <c r="C34">
        <v>5</v>
      </c>
    </row>
    <row r="35" spans="1:3" x14ac:dyDescent="0.25">
      <c r="A35" s="1">
        <v>45303</v>
      </c>
      <c r="B35" t="s">
        <v>6</v>
      </c>
      <c r="C35">
        <v>9</v>
      </c>
    </row>
    <row r="36" spans="1:3" x14ac:dyDescent="0.25">
      <c r="A36" s="1">
        <v>45334</v>
      </c>
      <c r="B36" t="s">
        <v>38</v>
      </c>
      <c r="C36">
        <v>22</v>
      </c>
    </row>
    <row r="37" spans="1:3" x14ac:dyDescent="0.25">
      <c r="A37" s="1">
        <v>45377</v>
      </c>
      <c r="B37" t="s">
        <v>30</v>
      </c>
      <c r="C37">
        <v>17</v>
      </c>
    </row>
    <row r="38" spans="1:3" x14ac:dyDescent="0.25">
      <c r="A38" s="1">
        <v>45316</v>
      </c>
      <c r="B38" t="s">
        <v>8</v>
      </c>
      <c r="C38">
        <v>19</v>
      </c>
    </row>
    <row r="39" spans="1:3" x14ac:dyDescent="0.25">
      <c r="A39" s="1">
        <v>45320</v>
      </c>
      <c r="B39" t="s">
        <v>36</v>
      </c>
      <c r="C39">
        <v>5</v>
      </c>
    </row>
    <row r="40" spans="1:3" x14ac:dyDescent="0.25">
      <c r="A40" s="1">
        <v>45367</v>
      </c>
      <c r="B40" t="s">
        <v>6</v>
      </c>
      <c r="C40">
        <v>28</v>
      </c>
    </row>
    <row r="41" spans="1:3" x14ac:dyDescent="0.25">
      <c r="A41" s="1">
        <v>45326</v>
      </c>
      <c r="B41" t="s">
        <v>24</v>
      </c>
      <c r="C41">
        <v>16</v>
      </c>
    </row>
    <row r="42" spans="1:3" x14ac:dyDescent="0.25">
      <c r="A42" s="1">
        <v>45351</v>
      </c>
      <c r="B42" t="s">
        <v>4</v>
      </c>
      <c r="C42">
        <v>5</v>
      </c>
    </row>
    <row r="43" spans="1:3" x14ac:dyDescent="0.25">
      <c r="A43" s="1">
        <v>45303</v>
      </c>
      <c r="B43" t="s">
        <v>8</v>
      </c>
      <c r="C43">
        <v>12</v>
      </c>
    </row>
    <row r="44" spans="1:3" x14ac:dyDescent="0.25">
      <c r="A44" s="1">
        <v>45359</v>
      </c>
      <c r="B44" t="s">
        <v>28</v>
      </c>
      <c r="C44">
        <v>24</v>
      </c>
    </row>
    <row r="45" spans="1:3" x14ac:dyDescent="0.25">
      <c r="A45" s="1">
        <v>45350</v>
      </c>
      <c r="B45" t="s">
        <v>18</v>
      </c>
      <c r="C45">
        <v>13</v>
      </c>
    </row>
    <row r="46" spans="1:3" x14ac:dyDescent="0.25">
      <c r="A46" s="1">
        <v>45344</v>
      </c>
      <c r="B46" t="s">
        <v>42</v>
      </c>
      <c r="C46">
        <v>19</v>
      </c>
    </row>
    <row r="47" spans="1:3" x14ac:dyDescent="0.25">
      <c r="A47" s="1">
        <v>45345</v>
      </c>
      <c r="B47" t="s">
        <v>6</v>
      </c>
      <c r="C47">
        <v>14</v>
      </c>
    </row>
    <row r="48" spans="1:3" x14ac:dyDescent="0.25">
      <c r="A48" s="1">
        <v>45376</v>
      </c>
      <c r="B48" t="s">
        <v>24</v>
      </c>
      <c r="C48">
        <v>12</v>
      </c>
    </row>
    <row r="49" spans="1:3" x14ac:dyDescent="0.25">
      <c r="A49" s="1">
        <v>45381</v>
      </c>
      <c r="B49" t="s">
        <v>36</v>
      </c>
      <c r="C49">
        <v>20</v>
      </c>
    </row>
    <row r="50" spans="1:3" x14ac:dyDescent="0.25">
      <c r="A50" s="1">
        <v>45324</v>
      </c>
      <c r="B50" t="s">
        <v>4</v>
      </c>
      <c r="C50">
        <v>7</v>
      </c>
    </row>
    <row r="51" spans="1:3" x14ac:dyDescent="0.25">
      <c r="A51" s="1">
        <v>45318</v>
      </c>
      <c r="B51" t="s">
        <v>22</v>
      </c>
      <c r="C51">
        <v>20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1"/>
  <sheetViews>
    <sheetView tabSelected="1" workbookViewId="0">
      <selection activeCell="R6" sqref="R6"/>
    </sheetView>
  </sheetViews>
  <sheetFormatPr baseColWidth="10" defaultColWidth="9.140625" defaultRowHeight="15" x14ac:dyDescent="0.25"/>
  <cols>
    <col min="1" max="1" width="10.7109375" customWidth="1"/>
    <col min="2" max="2" width="17.7109375" customWidth="1"/>
    <col min="3" max="3" width="11" customWidth="1"/>
  </cols>
  <sheetData>
    <row r="1" spans="1:3" x14ac:dyDescent="0.25">
      <c r="A1" t="s">
        <v>44</v>
      </c>
      <c r="B1" t="s">
        <v>45</v>
      </c>
      <c r="C1" t="s">
        <v>46</v>
      </c>
    </row>
    <row r="2" spans="1:3" x14ac:dyDescent="0.25">
      <c r="A2" s="1">
        <v>45368</v>
      </c>
      <c r="B2" t="s">
        <v>6</v>
      </c>
      <c r="C2">
        <v>1</v>
      </c>
    </row>
    <row r="3" spans="1:3" x14ac:dyDescent="0.25">
      <c r="A3" s="1">
        <v>45376</v>
      </c>
      <c r="B3" t="s">
        <v>20</v>
      </c>
      <c r="C3">
        <v>5</v>
      </c>
    </row>
    <row r="4" spans="1:3" x14ac:dyDescent="0.25">
      <c r="A4" s="1">
        <v>45342</v>
      </c>
      <c r="B4" t="s">
        <v>16</v>
      </c>
      <c r="C4">
        <v>1</v>
      </c>
    </row>
    <row r="5" spans="1:3" x14ac:dyDescent="0.25">
      <c r="A5" s="1">
        <v>45357</v>
      </c>
      <c r="B5" t="s">
        <v>24</v>
      </c>
      <c r="C5">
        <v>4</v>
      </c>
    </row>
    <row r="6" spans="1:3" x14ac:dyDescent="0.25">
      <c r="A6" s="1">
        <v>45378</v>
      </c>
      <c r="B6" t="s">
        <v>30</v>
      </c>
      <c r="C6">
        <v>1</v>
      </c>
    </row>
    <row r="7" spans="1:3" x14ac:dyDescent="0.25">
      <c r="A7" s="1">
        <v>45367</v>
      </c>
      <c r="B7" t="s">
        <v>10</v>
      </c>
      <c r="C7">
        <v>1</v>
      </c>
    </row>
    <row r="8" spans="1:3" x14ac:dyDescent="0.25">
      <c r="A8" s="1">
        <v>45365</v>
      </c>
      <c r="B8" t="s">
        <v>30</v>
      </c>
      <c r="C8">
        <v>2</v>
      </c>
    </row>
    <row r="9" spans="1:3" x14ac:dyDescent="0.25">
      <c r="A9" s="1">
        <v>45321</v>
      </c>
      <c r="B9" t="s">
        <v>12</v>
      </c>
      <c r="C9">
        <v>3</v>
      </c>
    </row>
    <row r="10" spans="1:3" x14ac:dyDescent="0.25">
      <c r="A10" s="1">
        <v>45357</v>
      </c>
      <c r="B10" t="s">
        <v>8</v>
      </c>
      <c r="C10">
        <v>3</v>
      </c>
    </row>
    <row r="11" spans="1:3" x14ac:dyDescent="0.25">
      <c r="A11" s="1">
        <v>45307</v>
      </c>
      <c r="B11" t="s">
        <v>14</v>
      </c>
      <c r="C11">
        <v>4</v>
      </c>
    </row>
    <row r="12" spans="1:3" x14ac:dyDescent="0.25">
      <c r="A12" s="1">
        <v>45354</v>
      </c>
      <c r="B12" t="s">
        <v>6</v>
      </c>
      <c r="C12">
        <v>1</v>
      </c>
    </row>
    <row r="13" spans="1:3" x14ac:dyDescent="0.25">
      <c r="A13" s="1">
        <v>45342</v>
      </c>
      <c r="B13" t="s">
        <v>24</v>
      </c>
      <c r="C13">
        <v>2</v>
      </c>
    </row>
    <row r="14" spans="1:3" x14ac:dyDescent="0.25">
      <c r="A14" s="1">
        <v>45350</v>
      </c>
      <c r="B14" t="s">
        <v>36</v>
      </c>
      <c r="C14">
        <v>2</v>
      </c>
    </row>
    <row r="15" spans="1:3" x14ac:dyDescent="0.25">
      <c r="A15" s="1">
        <v>45355</v>
      </c>
      <c r="B15" t="s">
        <v>26</v>
      </c>
      <c r="C15">
        <v>3</v>
      </c>
    </row>
    <row r="16" spans="1:3" x14ac:dyDescent="0.25">
      <c r="A16" s="1">
        <v>45301</v>
      </c>
      <c r="B16" t="s">
        <v>6</v>
      </c>
      <c r="C16">
        <v>5</v>
      </c>
    </row>
    <row r="17" spans="1:3" x14ac:dyDescent="0.25">
      <c r="A17" s="1">
        <v>45342</v>
      </c>
      <c r="B17" t="s">
        <v>16</v>
      </c>
      <c r="C17">
        <v>4</v>
      </c>
    </row>
    <row r="18" spans="1:3" x14ac:dyDescent="0.25">
      <c r="A18" s="1">
        <v>45354</v>
      </c>
      <c r="B18" t="s">
        <v>6</v>
      </c>
      <c r="C18">
        <v>3</v>
      </c>
    </row>
    <row r="19" spans="1:3" x14ac:dyDescent="0.25">
      <c r="A19" s="1">
        <v>45344</v>
      </c>
      <c r="B19" t="s">
        <v>22</v>
      </c>
      <c r="C19">
        <v>4</v>
      </c>
    </row>
    <row r="20" spans="1:3" x14ac:dyDescent="0.25">
      <c r="A20" s="1">
        <v>45317</v>
      </c>
      <c r="B20" t="s">
        <v>22</v>
      </c>
      <c r="C20">
        <v>4</v>
      </c>
    </row>
    <row r="21" spans="1:3" x14ac:dyDescent="0.25">
      <c r="A21" s="1">
        <v>45307</v>
      </c>
      <c r="B21" t="s">
        <v>36</v>
      </c>
      <c r="C21">
        <v>4</v>
      </c>
    </row>
    <row r="22" spans="1:3" x14ac:dyDescent="0.25">
      <c r="A22" s="1">
        <v>45325</v>
      </c>
      <c r="B22" t="s">
        <v>22</v>
      </c>
      <c r="C22">
        <v>5</v>
      </c>
    </row>
    <row r="23" spans="1:3" x14ac:dyDescent="0.25">
      <c r="A23" s="1">
        <v>45320</v>
      </c>
      <c r="B23" t="s">
        <v>6</v>
      </c>
      <c r="C23">
        <v>5</v>
      </c>
    </row>
    <row r="24" spans="1:3" x14ac:dyDescent="0.25">
      <c r="A24" s="1">
        <v>45366</v>
      </c>
      <c r="B24" t="s">
        <v>18</v>
      </c>
      <c r="C24">
        <v>1</v>
      </c>
    </row>
    <row r="25" spans="1:3" x14ac:dyDescent="0.25">
      <c r="A25" s="1">
        <v>45326</v>
      </c>
      <c r="B25" t="s">
        <v>18</v>
      </c>
      <c r="C25">
        <v>1</v>
      </c>
    </row>
    <row r="26" spans="1:3" x14ac:dyDescent="0.25">
      <c r="A26" s="1">
        <v>45321</v>
      </c>
      <c r="B26" t="s">
        <v>6</v>
      </c>
      <c r="C26">
        <v>3</v>
      </c>
    </row>
    <row r="27" spans="1:3" x14ac:dyDescent="0.25">
      <c r="A27" s="1">
        <v>45332</v>
      </c>
      <c r="B27" t="s">
        <v>40</v>
      </c>
      <c r="C27">
        <v>5</v>
      </c>
    </row>
    <row r="28" spans="1:3" x14ac:dyDescent="0.25">
      <c r="A28" s="1">
        <v>45373</v>
      </c>
      <c r="B28" t="s">
        <v>42</v>
      </c>
      <c r="C28">
        <v>1</v>
      </c>
    </row>
    <row r="29" spans="1:3" x14ac:dyDescent="0.25">
      <c r="A29" s="1">
        <v>45315</v>
      </c>
      <c r="B29" t="s">
        <v>4</v>
      </c>
      <c r="C29">
        <v>1</v>
      </c>
    </row>
    <row r="30" spans="1:3" x14ac:dyDescent="0.25">
      <c r="A30" s="1">
        <v>45329</v>
      </c>
      <c r="B30" t="s">
        <v>16</v>
      </c>
      <c r="C30">
        <v>3</v>
      </c>
    </row>
    <row r="31" spans="1:3" x14ac:dyDescent="0.25">
      <c r="A31" s="1">
        <v>45336</v>
      </c>
      <c r="B31" t="s">
        <v>14</v>
      </c>
      <c r="C31">
        <v>5</v>
      </c>
    </row>
    <row r="32" spans="1:3" x14ac:dyDescent="0.25">
      <c r="A32" s="1">
        <v>45304</v>
      </c>
      <c r="B32" t="s">
        <v>36</v>
      </c>
      <c r="C32">
        <v>2</v>
      </c>
    </row>
    <row r="33" spans="1:3" x14ac:dyDescent="0.25">
      <c r="A33" s="1">
        <v>45299</v>
      </c>
      <c r="B33" t="s">
        <v>20</v>
      </c>
      <c r="C33">
        <v>4</v>
      </c>
    </row>
    <row r="34" spans="1:3" x14ac:dyDescent="0.25">
      <c r="A34" s="1">
        <v>45319</v>
      </c>
      <c r="B34" t="s">
        <v>8</v>
      </c>
      <c r="C34">
        <v>1</v>
      </c>
    </row>
    <row r="35" spans="1:3" x14ac:dyDescent="0.25">
      <c r="A35" s="1">
        <v>45313</v>
      </c>
      <c r="B35" t="s">
        <v>20</v>
      </c>
      <c r="C35">
        <v>5</v>
      </c>
    </row>
    <row r="36" spans="1:3" x14ac:dyDescent="0.25">
      <c r="A36" s="1">
        <v>45379</v>
      </c>
      <c r="B36" t="s">
        <v>40</v>
      </c>
      <c r="C36">
        <v>3</v>
      </c>
    </row>
    <row r="37" spans="1:3" x14ac:dyDescent="0.25">
      <c r="A37" s="1">
        <v>45364</v>
      </c>
      <c r="B37" t="s">
        <v>30</v>
      </c>
      <c r="C37">
        <v>4</v>
      </c>
    </row>
    <row r="38" spans="1:3" x14ac:dyDescent="0.25">
      <c r="A38" s="1">
        <v>45318</v>
      </c>
      <c r="B38" t="s">
        <v>34</v>
      </c>
      <c r="C38">
        <v>3</v>
      </c>
    </row>
    <row r="39" spans="1:3" x14ac:dyDescent="0.25">
      <c r="A39" s="1">
        <v>45368</v>
      </c>
      <c r="B39" t="s">
        <v>10</v>
      </c>
      <c r="C39">
        <v>1</v>
      </c>
    </row>
    <row r="40" spans="1:3" x14ac:dyDescent="0.25">
      <c r="A40" s="1">
        <v>45337</v>
      </c>
      <c r="B40" t="s">
        <v>32</v>
      </c>
      <c r="C40">
        <v>1</v>
      </c>
    </row>
    <row r="41" spans="1:3" x14ac:dyDescent="0.25">
      <c r="A41" s="1">
        <v>45326</v>
      </c>
      <c r="B41" t="s">
        <v>6</v>
      </c>
      <c r="C41">
        <v>1</v>
      </c>
    </row>
    <row r="42" spans="1:3" x14ac:dyDescent="0.25">
      <c r="A42" s="1">
        <v>45322</v>
      </c>
      <c r="B42" t="s">
        <v>18</v>
      </c>
      <c r="C42">
        <v>2</v>
      </c>
    </row>
    <row r="43" spans="1:3" x14ac:dyDescent="0.25">
      <c r="A43" s="1">
        <v>45330</v>
      </c>
      <c r="B43" t="s">
        <v>6</v>
      </c>
      <c r="C43">
        <v>3</v>
      </c>
    </row>
    <row r="44" spans="1:3" x14ac:dyDescent="0.25">
      <c r="A44" s="1">
        <v>45351</v>
      </c>
      <c r="B44" t="s">
        <v>8</v>
      </c>
      <c r="C44">
        <v>4</v>
      </c>
    </row>
    <row r="45" spans="1:3" x14ac:dyDescent="0.25">
      <c r="A45" s="1">
        <v>45293</v>
      </c>
      <c r="B45" t="s">
        <v>32</v>
      </c>
      <c r="C45">
        <v>2</v>
      </c>
    </row>
    <row r="46" spans="1:3" x14ac:dyDescent="0.25">
      <c r="A46" s="1">
        <v>45311</v>
      </c>
      <c r="B46" t="s">
        <v>20</v>
      </c>
      <c r="C46">
        <v>5</v>
      </c>
    </row>
    <row r="47" spans="1:3" x14ac:dyDescent="0.25">
      <c r="A47" s="1">
        <v>45377</v>
      </c>
      <c r="B47" t="s">
        <v>42</v>
      </c>
      <c r="C47">
        <v>3</v>
      </c>
    </row>
    <row r="48" spans="1:3" x14ac:dyDescent="0.25">
      <c r="A48" s="1">
        <v>45312</v>
      </c>
      <c r="B48" t="s">
        <v>42</v>
      </c>
      <c r="C48">
        <v>4</v>
      </c>
    </row>
    <row r="49" spans="1:3" x14ac:dyDescent="0.25">
      <c r="A49" s="1">
        <v>45347</v>
      </c>
      <c r="B49" t="s">
        <v>30</v>
      </c>
      <c r="C49">
        <v>3</v>
      </c>
    </row>
    <row r="50" spans="1:3" x14ac:dyDescent="0.25">
      <c r="A50" s="1">
        <v>45377</v>
      </c>
      <c r="B50" t="s">
        <v>34</v>
      </c>
      <c r="C50">
        <v>2</v>
      </c>
    </row>
    <row r="51" spans="1:3" x14ac:dyDescent="0.25">
      <c r="A51" s="1">
        <v>45320</v>
      </c>
      <c r="B51" t="s">
        <v>30</v>
      </c>
      <c r="C51">
        <v>2</v>
      </c>
    </row>
    <row r="52" spans="1:3" x14ac:dyDescent="0.25">
      <c r="A52" s="1">
        <v>45316</v>
      </c>
      <c r="B52" t="s">
        <v>22</v>
      </c>
      <c r="C52">
        <v>4</v>
      </c>
    </row>
    <row r="53" spans="1:3" x14ac:dyDescent="0.25">
      <c r="A53" s="1">
        <v>45348</v>
      </c>
      <c r="B53" t="s">
        <v>4</v>
      </c>
      <c r="C53">
        <v>2</v>
      </c>
    </row>
    <row r="54" spans="1:3" x14ac:dyDescent="0.25">
      <c r="A54" s="1">
        <v>45348</v>
      </c>
      <c r="B54" t="s">
        <v>28</v>
      </c>
      <c r="C54">
        <v>3</v>
      </c>
    </row>
    <row r="55" spans="1:3" x14ac:dyDescent="0.25">
      <c r="A55" s="1">
        <v>45367</v>
      </c>
      <c r="B55" t="s">
        <v>34</v>
      </c>
      <c r="C55">
        <v>5</v>
      </c>
    </row>
    <row r="56" spans="1:3" x14ac:dyDescent="0.25">
      <c r="A56" s="1">
        <v>45324</v>
      </c>
      <c r="B56" t="s">
        <v>28</v>
      </c>
      <c r="C56">
        <v>4</v>
      </c>
    </row>
    <row r="57" spans="1:3" x14ac:dyDescent="0.25">
      <c r="A57" s="1">
        <v>45379</v>
      </c>
      <c r="B57" t="s">
        <v>30</v>
      </c>
      <c r="C57">
        <v>3</v>
      </c>
    </row>
    <row r="58" spans="1:3" x14ac:dyDescent="0.25">
      <c r="A58" s="1">
        <v>45380</v>
      </c>
      <c r="B58" t="s">
        <v>40</v>
      </c>
      <c r="C58">
        <v>2</v>
      </c>
    </row>
    <row r="59" spans="1:3" x14ac:dyDescent="0.25">
      <c r="A59" s="1">
        <v>45336</v>
      </c>
      <c r="B59" t="s">
        <v>40</v>
      </c>
      <c r="C59">
        <v>3</v>
      </c>
    </row>
    <row r="60" spans="1:3" x14ac:dyDescent="0.25">
      <c r="A60" s="1">
        <v>45348</v>
      </c>
      <c r="B60" t="s">
        <v>24</v>
      </c>
      <c r="C60">
        <v>3</v>
      </c>
    </row>
    <row r="61" spans="1:3" x14ac:dyDescent="0.25">
      <c r="A61" s="1">
        <v>45318</v>
      </c>
      <c r="B61" t="s">
        <v>26</v>
      </c>
      <c r="C61">
        <v>5</v>
      </c>
    </row>
    <row r="62" spans="1:3" x14ac:dyDescent="0.25">
      <c r="A62" s="1">
        <v>45359</v>
      </c>
      <c r="B62" t="s">
        <v>28</v>
      </c>
      <c r="C62">
        <v>5</v>
      </c>
    </row>
    <row r="63" spans="1:3" x14ac:dyDescent="0.25">
      <c r="A63" s="1">
        <v>45297</v>
      </c>
      <c r="B63" t="s">
        <v>24</v>
      </c>
      <c r="C63">
        <v>1</v>
      </c>
    </row>
    <row r="64" spans="1:3" x14ac:dyDescent="0.25">
      <c r="A64" s="1">
        <v>45293</v>
      </c>
      <c r="B64" t="s">
        <v>34</v>
      </c>
      <c r="C64">
        <v>5</v>
      </c>
    </row>
    <row r="65" spans="1:3" x14ac:dyDescent="0.25">
      <c r="A65" s="1">
        <v>45348</v>
      </c>
      <c r="B65" t="s">
        <v>28</v>
      </c>
      <c r="C65">
        <v>1</v>
      </c>
    </row>
    <row r="66" spans="1:3" x14ac:dyDescent="0.25">
      <c r="A66" s="1">
        <v>45362</v>
      </c>
      <c r="B66" t="s">
        <v>32</v>
      </c>
      <c r="C66">
        <v>2</v>
      </c>
    </row>
    <row r="67" spans="1:3" x14ac:dyDescent="0.25">
      <c r="A67" s="1">
        <v>45296</v>
      </c>
      <c r="B67" t="s">
        <v>4</v>
      </c>
      <c r="C67">
        <v>2</v>
      </c>
    </row>
    <row r="68" spans="1:3" x14ac:dyDescent="0.25">
      <c r="A68" s="1">
        <v>45368</v>
      </c>
      <c r="B68" t="s">
        <v>12</v>
      </c>
      <c r="C68">
        <v>2</v>
      </c>
    </row>
    <row r="69" spans="1:3" x14ac:dyDescent="0.25">
      <c r="A69" s="1">
        <v>45300</v>
      </c>
      <c r="B69" t="s">
        <v>22</v>
      </c>
      <c r="C69">
        <v>4</v>
      </c>
    </row>
    <row r="70" spans="1:3" x14ac:dyDescent="0.25">
      <c r="A70" s="1">
        <v>45314</v>
      </c>
      <c r="B70" t="s">
        <v>30</v>
      </c>
      <c r="C70">
        <v>5</v>
      </c>
    </row>
    <row r="71" spans="1:3" x14ac:dyDescent="0.25">
      <c r="A71" s="1">
        <v>45335</v>
      </c>
      <c r="B71" t="s">
        <v>32</v>
      </c>
      <c r="C71">
        <v>2</v>
      </c>
    </row>
    <row r="72" spans="1:3" x14ac:dyDescent="0.25">
      <c r="A72" s="1">
        <v>45313</v>
      </c>
      <c r="B72" t="s">
        <v>34</v>
      </c>
      <c r="C72">
        <v>1</v>
      </c>
    </row>
    <row r="73" spans="1:3" x14ac:dyDescent="0.25">
      <c r="A73" s="1">
        <v>45361</v>
      </c>
      <c r="B73" t="s">
        <v>10</v>
      </c>
      <c r="C73">
        <v>2</v>
      </c>
    </row>
    <row r="74" spans="1:3" x14ac:dyDescent="0.25">
      <c r="A74" s="1">
        <v>45346</v>
      </c>
      <c r="B74" t="s">
        <v>20</v>
      </c>
      <c r="C74">
        <v>5</v>
      </c>
    </row>
    <row r="75" spans="1:3" x14ac:dyDescent="0.25">
      <c r="A75" s="1">
        <v>45305</v>
      </c>
      <c r="B75" t="s">
        <v>32</v>
      </c>
      <c r="C75">
        <v>5</v>
      </c>
    </row>
    <row r="76" spans="1:3" x14ac:dyDescent="0.25">
      <c r="A76" s="1">
        <v>45361</v>
      </c>
      <c r="B76" t="s">
        <v>26</v>
      </c>
      <c r="C76">
        <v>4</v>
      </c>
    </row>
    <row r="77" spans="1:3" x14ac:dyDescent="0.25">
      <c r="A77" s="1">
        <v>45350</v>
      </c>
      <c r="B77" t="s">
        <v>36</v>
      </c>
      <c r="C77">
        <v>5</v>
      </c>
    </row>
    <row r="78" spans="1:3" x14ac:dyDescent="0.25">
      <c r="A78" s="1">
        <v>45296</v>
      </c>
      <c r="B78" t="s">
        <v>32</v>
      </c>
      <c r="C78">
        <v>1</v>
      </c>
    </row>
    <row r="79" spans="1:3" x14ac:dyDescent="0.25">
      <c r="A79" s="1">
        <v>45298</v>
      </c>
      <c r="B79" t="s">
        <v>14</v>
      </c>
      <c r="C79">
        <v>1</v>
      </c>
    </row>
    <row r="80" spans="1:3" x14ac:dyDescent="0.25">
      <c r="A80" s="1">
        <v>45293</v>
      </c>
      <c r="B80" t="s">
        <v>18</v>
      </c>
      <c r="C80">
        <v>3</v>
      </c>
    </row>
    <row r="81" spans="1:3" x14ac:dyDescent="0.25">
      <c r="A81" s="1">
        <v>45345</v>
      </c>
      <c r="B81" t="s">
        <v>16</v>
      </c>
      <c r="C81">
        <v>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DB1CD-51B2-4EDE-8CB3-39C89B858070}">
  <dimension ref="A1:G21"/>
  <sheetViews>
    <sheetView workbookViewId="0">
      <selection activeCell="I15" sqref="I15"/>
    </sheetView>
  </sheetViews>
  <sheetFormatPr baseColWidth="10" defaultRowHeight="15" x14ac:dyDescent="0.25"/>
  <cols>
    <col min="2" max="2" width="22.5703125" customWidth="1"/>
    <col min="3" max="3" width="13.5703125" customWidth="1"/>
    <col min="4" max="4" width="15.5703125" customWidth="1"/>
    <col min="5" max="5" width="14.140625" customWidth="1"/>
    <col min="6" max="6" width="13.85546875" customWidth="1"/>
  </cols>
  <sheetData>
    <row r="1" spans="1:7" ht="15.75" thickBot="1" x14ac:dyDescent="0.3">
      <c r="A1" s="2" t="s">
        <v>0</v>
      </c>
      <c r="B1" t="s">
        <v>47</v>
      </c>
      <c r="C1" t="s">
        <v>3</v>
      </c>
      <c r="D1" t="s">
        <v>48</v>
      </c>
      <c r="E1" t="s">
        <v>49</v>
      </c>
      <c r="F1" t="s">
        <v>50</v>
      </c>
      <c r="G1" t="s">
        <v>51</v>
      </c>
    </row>
    <row r="2" spans="1:7" ht="15.75" thickTop="1" x14ac:dyDescent="0.25">
      <c r="A2" s="3" t="s">
        <v>4</v>
      </c>
      <c r="B2" t="str">
        <f>VLOOKUP(A2, TablaProductos[], 2, 0)</f>
        <v>Laptop Lenovo ThinkPad</v>
      </c>
      <c r="C2" s="8">
        <f>VLOOKUP(A2, TablaProductos[], 4, 0)</f>
        <v>30</v>
      </c>
      <c r="D2" s="8">
        <f>SUMIFS(TablaEntradas[Cantidad], TablaEntradas[Código Producto], A2)</f>
        <v>63</v>
      </c>
      <c r="E2" s="8">
        <f>SUMIFS(TablaSalidas[Cantidad],TablaSalidas[Código Producto], A2)</f>
        <v>5</v>
      </c>
      <c r="F2" s="8">
        <f>C2 + D2 - E2</f>
        <v>88</v>
      </c>
      <c r="G2" t="str">
        <f t="shared" ref="G2:G21" si="0">IF(F2&lt;=10, "Pedir Stock", "En Stock")</f>
        <v>En Stock</v>
      </c>
    </row>
    <row r="3" spans="1:7" x14ac:dyDescent="0.25">
      <c r="A3" s="4" t="s">
        <v>6</v>
      </c>
      <c r="B3" t="str">
        <f>VLOOKUP(A3, TablaProductos[], 2, 0)</f>
        <v>Laptop HP Pavilion</v>
      </c>
      <c r="C3" s="8">
        <f>VLOOKUP(A3, TablaProductos[], 4, 0)</f>
        <v>17</v>
      </c>
      <c r="D3" s="8">
        <f>SUMIFS(TablaEntradas[Cantidad], TablaEntradas[Código Producto], A3)</f>
        <v>102</v>
      </c>
      <c r="E3" s="8">
        <f>SUMIFS(TablaSalidas[Cantidad],TablaSalidas[Código Producto], A3)</f>
        <v>22</v>
      </c>
      <c r="F3" s="8">
        <f t="shared" ref="F3:F21" si="1">C3 + D3 - E3</f>
        <v>97</v>
      </c>
      <c r="G3" t="str">
        <f t="shared" si="0"/>
        <v>En Stock</v>
      </c>
    </row>
    <row r="4" spans="1:7" x14ac:dyDescent="0.25">
      <c r="A4" s="3" t="s">
        <v>8</v>
      </c>
      <c r="B4" t="str">
        <f>VLOOKUP(A4, TablaProductos[], 2, 0)</f>
        <v>Laptop Dell Inspiron</v>
      </c>
      <c r="C4" s="8">
        <f>VLOOKUP(A4, TablaProductos[], 4, 0)</f>
        <v>35</v>
      </c>
      <c r="D4" s="8">
        <f>SUMIFS(TablaEntradas[Cantidad], TablaEntradas[Código Producto], A4)</f>
        <v>44</v>
      </c>
      <c r="E4" s="8">
        <f>SUMIFS(TablaSalidas[Cantidad],TablaSalidas[Código Producto], A4)</f>
        <v>8</v>
      </c>
      <c r="F4" s="8">
        <f t="shared" si="1"/>
        <v>71</v>
      </c>
      <c r="G4" t="str">
        <f t="shared" si="0"/>
        <v>En Stock</v>
      </c>
    </row>
    <row r="5" spans="1:7" x14ac:dyDescent="0.25">
      <c r="A5" s="4" t="s">
        <v>10</v>
      </c>
      <c r="B5" t="str">
        <f>VLOOKUP(A5, TablaProductos[], 2, 0)</f>
        <v>Monitor Samsung 24"</v>
      </c>
      <c r="C5" s="8">
        <f>VLOOKUP(A5, TablaProductos[], 4, 0)</f>
        <v>13</v>
      </c>
      <c r="D5" s="8">
        <f>SUMIFS(TablaEntradas[Cantidad], TablaEntradas[Código Producto], A5)</f>
        <v>23</v>
      </c>
      <c r="E5" s="8">
        <f>SUMIFS(TablaSalidas[Cantidad],TablaSalidas[Código Producto], A5)</f>
        <v>4</v>
      </c>
      <c r="F5" s="8">
        <f t="shared" si="1"/>
        <v>32</v>
      </c>
      <c r="G5" t="str">
        <f t="shared" si="0"/>
        <v>En Stock</v>
      </c>
    </row>
    <row r="6" spans="1:7" x14ac:dyDescent="0.25">
      <c r="A6" s="3" t="s">
        <v>12</v>
      </c>
      <c r="B6" t="str">
        <f>VLOOKUP(A6, TablaProductos[], 2, 0)</f>
        <v>Monitor LG 27"</v>
      </c>
      <c r="C6" s="8">
        <f>VLOOKUP(A6, TablaProductos[], 4, 0)</f>
        <v>49</v>
      </c>
      <c r="D6" s="8">
        <f>SUMIFS(TablaEntradas[Cantidad], TablaEntradas[Código Producto], A6)</f>
        <v>9</v>
      </c>
      <c r="E6" s="8">
        <f>SUMIFS(TablaSalidas[Cantidad],TablaSalidas[Código Producto], A6)</f>
        <v>5</v>
      </c>
      <c r="F6" s="8">
        <f t="shared" si="1"/>
        <v>53</v>
      </c>
      <c r="G6" t="str">
        <f t="shared" si="0"/>
        <v>En Stock</v>
      </c>
    </row>
    <row r="7" spans="1:7" x14ac:dyDescent="0.25">
      <c r="A7" s="4" t="s">
        <v>14</v>
      </c>
      <c r="B7" t="str">
        <f>VLOOKUP(A7, TablaProductos[], 2, 0)</f>
        <v>Teclado Mecánico</v>
      </c>
      <c r="C7" s="8">
        <f>VLOOKUP(A7, TablaProductos[], 4, 0)</f>
        <v>35</v>
      </c>
      <c r="D7" s="8">
        <f>SUMIFS(TablaEntradas[Cantidad], TablaEntradas[Código Producto], A7)</f>
        <v>0</v>
      </c>
      <c r="E7" s="8">
        <f>SUMIFS(TablaSalidas[Cantidad],TablaSalidas[Código Producto], A7)</f>
        <v>10</v>
      </c>
      <c r="F7" s="8">
        <f t="shared" si="1"/>
        <v>25</v>
      </c>
      <c r="G7" t="str">
        <f t="shared" si="0"/>
        <v>En Stock</v>
      </c>
    </row>
    <row r="8" spans="1:7" x14ac:dyDescent="0.25">
      <c r="A8" s="3" t="s">
        <v>16</v>
      </c>
      <c r="B8" t="str">
        <f>VLOOKUP(A8, TablaProductos[], 2, 0)</f>
        <v>Mouse Inalámbrico</v>
      </c>
      <c r="C8" s="8">
        <f>VLOOKUP(A8, TablaProductos[], 4, 0)</f>
        <v>16</v>
      </c>
      <c r="D8" s="8">
        <f>SUMIFS(TablaEntradas[Cantidad], TablaEntradas[Código Producto], A8)</f>
        <v>0</v>
      </c>
      <c r="E8" s="8">
        <f>SUMIFS(TablaSalidas[Cantidad],TablaSalidas[Código Producto], A8)</f>
        <v>13</v>
      </c>
      <c r="F8" s="8">
        <f t="shared" si="1"/>
        <v>3</v>
      </c>
      <c r="G8" t="str">
        <f t="shared" si="0"/>
        <v>Pedir Stock</v>
      </c>
    </row>
    <row r="9" spans="1:7" x14ac:dyDescent="0.25">
      <c r="A9" s="4" t="s">
        <v>18</v>
      </c>
      <c r="B9" t="str">
        <f>VLOOKUP(A9, TablaProductos[], 2, 0)</f>
        <v>Audífonos Bluetooth</v>
      </c>
      <c r="C9" s="8">
        <f>VLOOKUP(A9, TablaProductos[], 4, 0)</f>
        <v>29</v>
      </c>
      <c r="D9" s="8">
        <f>SUMIFS(TablaEntradas[Cantidad], TablaEntradas[Código Producto], A9)</f>
        <v>13</v>
      </c>
      <c r="E9" s="8">
        <f>SUMIFS(TablaSalidas[Cantidad],TablaSalidas[Código Producto], A9)</f>
        <v>7</v>
      </c>
      <c r="F9" s="8">
        <f t="shared" si="1"/>
        <v>35</v>
      </c>
      <c r="G9" t="str">
        <f t="shared" si="0"/>
        <v>En Stock</v>
      </c>
    </row>
    <row r="10" spans="1:7" x14ac:dyDescent="0.25">
      <c r="A10" s="3" t="s">
        <v>20</v>
      </c>
      <c r="B10" t="str">
        <f>VLOOKUP(A10, TablaProductos[], 2, 0)</f>
        <v>Webcam HD</v>
      </c>
      <c r="C10" s="8">
        <f>VLOOKUP(A10, TablaProductos[], 4, 0)</f>
        <v>35</v>
      </c>
      <c r="D10" s="8">
        <f>SUMIFS(TablaEntradas[Cantidad], TablaEntradas[Código Producto], A10)</f>
        <v>77</v>
      </c>
      <c r="E10" s="8">
        <f>SUMIFS(TablaSalidas[Cantidad],TablaSalidas[Código Producto], A10)</f>
        <v>24</v>
      </c>
      <c r="F10" s="8">
        <f t="shared" si="1"/>
        <v>88</v>
      </c>
      <c r="G10" t="str">
        <f t="shared" si="0"/>
        <v>En Stock</v>
      </c>
    </row>
    <row r="11" spans="1:7" x14ac:dyDescent="0.25">
      <c r="A11" s="4" t="s">
        <v>22</v>
      </c>
      <c r="B11" t="str">
        <f>VLOOKUP(A11, TablaProductos[], 2, 0)</f>
        <v>Cable HDMI</v>
      </c>
      <c r="C11" s="8">
        <f>VLOOKUP(A11, TablaProductos[], 4, 0)</f>
        <v>21</v>
      </c>
      <c r="D11" s="8">
        <f>SUMIFS(TablaEntradas[Cantidad], TablaEntradas[Código Producto], A11)</f>
        <v>28</v>
      </c>
      <c r="E11" s="8">
        <f>SUMIFS(TablaSalidas[Cantidad],TablaSalidas[Código Producto], A11)</f>
        <v>21</v>
      </c>
      <c r="F11" s="8">
        <f t="shared" si="1"/>
        <v>28</v>
      </c>
      <c r="G11" t="str">
        <f t="shared" si="0"/>
        <v>En Stock</v>
      </c>
    </row>
    <row r="12" spans="1:7" x14ac:dyDescent="0.25">
      <c r="A12" s="3" t="s">
        <v>24</v>
      </c>
      <c r="B12" t="str">
        <f>VLOOKUP(A12, TablaProductos[], 2, 0)</f>
        <v>Cable USB-C</v>
      </c>
      <c r="C12" s="8">
        <f>VLOOKUP(A12, TablaProductos[], 4, 0)</f>
        <v>32</v>
      </c>
      <c r="D12" s="8">
        <f>SUMIFS(TablaEntradas[Cantidad], TablaEntradas[Código Producto], A12)</f>
        <v>39</v>
      </c>
      <c r="E12" s="8">
        <f>SUMIFS(TablaSalidas[Cantidad],TablaSalidas[Código Producto], A12)</f>
        <v>10</v>
      </c>
      <c r="F12" s="8">
        <f t="shared" si="1"/>
        <v>61</v>
      </c>
      <c r="G12" t="str">
        <f t="shared" si="0"/>
        <v>En Stock</v>
      </c>
    </row>
    <row r="13" spans="1:7" x14ac:dyDescent="0.25">
      <c r="A13" s="4" t="s">
        <v>26</v>
      </c>
      <c r="B13" t="str">
        <f>VLOOKUP(A13, TablaProductos[], 2, 0)</f>
        <v>Disco Duro Externo</v>
      </c>
      <c r="C13" s="8">
        <f>VLOOKUP(A13, TablaProductos[], 4, 0)</f>
        <v>46</v>
      </c>
      <c r="D13" s="8">
        <f>SUMIFS(TablaEntradas[Cantidad], TablaEntradas[Código Producto], A13)</f>
        <v>49</v>
      </c>
      <c r="E13" s="8">
        <f>SUMIFS(TablaSalidas[Cantidad],TablaSalidas[Código Producto], A13)</f>
        <v>12</v>
      </c>
      <c r="F13" s="8">
        <f t="shared" si="1"/>
        <v>83</v>
      </c>
      <c r="G13" t="str">
        <f t="shared" si="0"/>
        <v>En Stock</v>
      </c>
    </row>
    <row r="14" spans="1:7" x14ac:dyDescent="0.25">
      <c r="A14" s="3" t="s">
        <v>28</v>
      </c>
      <c r="B14" t="str">
        <f>VLOOKUP(A14, TablaProductos[], 2, 0)</f>
        <v>SSD 1TB</v>
      </c>
      <c r="C14" s="8">
        <f>VLOOKUP(A14, TablaProductos[], 4, 0)</f>
        <v>34</v>
      </c>
      <c r="D14" s="8">
        <f>SUMIFS(TablaEntradas[Cantidad], TablaEntradas[Código Producto], A14)</f>
        <v>72</v>
      </c>
      <c r="E14" s="8">
        <f>SUMIFS(TablaSalidas[Cantidad],TablaSalidas[Código Producto], A14)</f>
        <v>13</v>
      </c>
      <c r="F14" s="8">
        <f t="shared" si="1"/>
        <v>93</v>
      </c>
      <c r="G14" t="str">
        <f t="shared" si="0"/>
        <v>En Stock</v>
      </c>
    </row>
    <row r="15" spans="1:7" x14ac:dyDescent="0.25">
      <c r="A15" s="4" t="s">
        <v>30</v>
      </c>
      <c r="B15" t="str">
        <f>VLOOKUP(A15, TablaProductos[], 2, 0)</f>
        <v>Memoria USB 64GB</v>
      </c>
      <c r="C15" s="8">
        <f>VLOOKUP(A15, TablaProductos[], 4, 0)</f>
        <v>19</v>
      </c>
      <c r="D15" s="8">
        <f>SUMIFS(TablaEntradas[Cantidad], TablaEntradas[Código Producto], A15)</f>
        <v>43</v>
      </c>
      <c r="E15" s="8">
        <f>SUMIFS(TablaSalidas[Cantidad],TablaSalidas[Código Producto], A15)</f>
        <v>20</v>
      </c>
      <c r="F15" s="8">
        <f t="shared" si="1"/>
        <v>42</v>
      </c>
      <c r="G15" t="str">
        <f t="shared" si="0"/>
        <v>En Stock</v>
      </c>
    </row>
    <row r="16" spans="1:7" x14ac:dyDescent="0.25">
      <c r="A16" s="3" t="s">
        <v>32</v>
      </c>
      <c r="B16" t="str">
        <f>VLOOKUP(A16, TablaProductos[], 2, 0)</f>
        <v>Router WiFi</v>
      </c>
      <c r="C16" s="8">
        <f>VLOOKUP(A16, TablaProductos[], 4, 0)</f>
        <v>36</v>
      </c>
      <c r="D16" s="8">
        <f>SUMIFS(TablaEntradas[Cantidad], TablaEntradas[Código Producto], A16)</f>
        <v>0</v>
      </c>
      <c r="E16" s="8">
        <f>SUMIFS(TablaSalidas[Cantidad],TablaSalidas[Código Producto], A16)</f>
        <v>13</v>
      </c>
      <c r="F16" s="8">
        <f t="shared" si="1"/>
        <v>23</v>
      </c>
      <c r="G16" t="str">
        <f t="shared" si="0"/>
        <v>En Stock</v>
      </c>
    </row>
    <row r="17" spans="1:7" x14ac:dyDescent="0.25">
      <c r="A17" s="4" t="s">
        <v>34</v>
      </c>
      <c r="B17" t="str">
        <f>VLOOKUP(A17, TablaProductos[], 2, 0)</f>
        <v>Impresora Multifuncional</v>
      </c>
      <c r="C17" s="8">
        <f>VLOOKUP(A17, TablaProductos[], 4, 0)</f>
        <v>19</v>
      </c>
      <c r="D17" s="8">
        <f>SUMIFS(TablaEntradas[Cantidad], TablaEntradas[Código Producto], A17)</f>
        <v>27</v>
      </c>
      <c r="E17" s="8">
        <f>SUMIFS(TablaSalidas[Cantidad],TablaSalidas[Código Producto], A17)</f>
        <v>16</v>
      </c>
      <c r="F17" s="8">
        <f t="shared" si="1"/>
        <v>30</v>
      </c>
      <c r="G17" t="str">
        <f t="shared" si="0"/>
        <v>En Stock</v>
      </c>
    </row>
    <row r="18" spans="1:7" x14ac:dyDescent="0.25">
      <c r="A18" s="3" t="s">
        <v>36</v>
      </c>
      <c r="B18" t="str">
        <f>VLOOKUP(A18, TablaProductos[], 2, 0)</f>
        <v>Base Enfriadora Laptop</v>
      </c>
      <c r="C18" s="8">
        <f>VLOOKUP(A18, TablaProductos[], 4, 0)</f>
        <v>48</v>
      </c>
      <c r="D18" s="8">
        <f>SUMIFS(TablaEntradas[Cantidad], TablaEntradas[Código Producto], A18)</f>
        <v>39</v>
      </c>
      <c r="E18" s="8">
        <f>SUMIFS(TablaSalidas[Cantidad],TablaSalidas[Código Producto], A18)</f>
        <v>13</v>
      </c>
      <c r="F18" s="8">
        <f t="shared" si="1"/>
        <v>74</v>
      </c>
      <c r="G18" t="str">
        <f t="shared" si="0"/>
        <v>En Stock</v>
      </c>
    </row>
    <row r="19" spans="1:7" x14ac:dyDescent="0.25">
      <c r="A19" s="4" t="s">
        <v>38</v>
      </c>
      <c r="B19" t="str">
        <f>VLOOKUP(A19, TablaProductos[], 2, 0)</f>
        <v>Adaptador USB Ethernet</v>
      </c>
      <c r="C19" s="8">
        <f>VLOOKUP(A19, TablaProductos[], 4, 0)</f>
        <v>42</v>
      </c>
      <c r="D19" s="8">
        <f>SUMIFS(TablaEntradas[Cantidad], TablaEntradas[Código Producto], A19)</f>
        <v>97</v>
      </c>
      <c r="E19" s="8">
        <f>SUMIFS(TablaSalidas[Cantidad],TablaSalidas[Código Producto], A19)</f>
        <v>0</v>
      </c>
      <c r="F19" s="8">
        <f t="shared" si="1"/>
        <v>139</v>
      </c>
      <c r="G19" t="str">
        <f t="shared" si="0"/>
        <v>En Stock</v>
      </c>
    </row>
    <row r="20" spans="1:7" x14ac:dyDescent="0.25">
      <c r="A20" s="3" t="s">
        <v>40</v>
      </c>
      <c r="B20" t="str">
        <f>VLOOKUP(A20, TablaProductos[], 2, 0)</f>
        <v>Monitor ASUS 22"</v>
      </c>
      <c r="C20" s="8">
        <f>VLOOKUP(A20, TablaProductos[], 4, 0)</f>
        <v>22</v>
      </c>
      <c r="D20" s="8">
        <f>SUMIFS(TablaEntradas[Cantidad], TablaEntradas[Código Producto], A20)</f>
        <v>19</v>
      </c>
      <c r="E20" s="8">
        <f>SUMIFS(TablaSalidas[Cantidad],TablaSalidas[Código Producto], A20)</f>
        <v>13</v>
      </c>
      <c r="F20" s="8">
        <f t="shared" si="1"/>
        <v>28</v>
      </c>
      <c r="G20" t="str">
        <f t="shared" si="0"/>
        <v>En Stock</v>
      </c>
    </row>
    <row r="21" spans="1:7" x14ac:dyDescent="0.25">
      <c r="A21" s="5" t="s">
        <v>42</v>
      </c>
      <c r="B21" t="str">
        <f>VLOOKUP(A21, TablaProductos[], 2, 0)</f>
        <v>Mouse Gamer</v>
      </c>
      <c r="C21" s="8">
        <f>VLOOKUP(A21, TablaProductos[], 4, 0)</f>
        <v>25</v>
      </c>
      <c r="D21" s="8">
        <f>SUMIFS(TablaEntradas[Cantidad], TablaEntradas[Código Producto], A21)</f>
        <v>46</v>
      </c>
      <c r="E21" s="8">
        <f>SUMIFS(TablaSalidas[Cantidad],TablaSalidas[Código Producto], A21)</f>
        <v>8</v>
      </c>
      <c r="F21" s="8">
        <f t="shared" si="1"/>
        <v>63</v>
      </c>
      <c r="G21" t="str">
        <f t="shared" si="0"/>
        <v>En Stock</v>
      </c>
    </row>
  </sheetData>
  <conditionalFormatting sqref="F2:F21">
    <cfRule type="cellIs" dxfId="6" priority="4" operator="lessThan">
      <formula>10</formula>
    </cfRule>
    <cfRule type="cellIs" dxfId="5" priority="3" operator="greaterThan">
      <formula>10</formula>
    </cfRule>
  </conditionalFormatting>
  <conditionalFormatting sqref="G2:G21">
    <cfRule type="containsText" dxfId="0" priority="2" operator="containsText" text="Pedir Stock">
      <formula>NOT(ISERROR(SEARCH("Pedir Stock",G2)))</formula>
    </cfRule>
    <cfRule type="containsText" dxfId="1" priority="1" operator="containsText" text="En Stock">
      <formula>NOT(ISERROR(SEARCH("En Stock",G2)))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Productos</vt:lpstr>
      <vt:lpstr>Entradas</vt:lpstr>
      <vt:lpstr>Salidas</vt:lpstr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Aldo Gonzalez Lugo</cp:lastModifiedBy>
  <dcterms:created xsi:type="dcterms:W3CDTF">2025-12-27T00:20:43Z</dcterms:created>
  <dcterms:modified xsi:type="dcterms:W3CDTF">2025-12-27T01:14:34Z</dcterms:modified>
</cp:coreProperties>
</file>